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_Labs/Capstone_1/"/>
    </mc:Choice>
  </mc:AlternateContent>
  <xr:revisionPtr revIDLastSave="0" documentId="8_{94AF600A-404B-C742-AC9E-0633DC26F401}" xr6:coauthVersionLast="47" xr6:coauthVersionMax="47" xr10:uidLastSave="{00000000-0000-0000-0000-000000000000}"/>
  <bookViews>
    <workbookView xWindow="12600" yWindow="740" windowWidth="15420" windowHeight="17180" firstSheet="6" activeTab="7" xr2:uid="{22A42B34-7F5C-A14E-89BE-8BDAEB629263}"/>
  </bookViews>
  <sheets>
    <sheet name="Tequila_Sales_Analysis" sheetId="1" r:id="rId1"/>
    <sheet name="Sales_By_County" sheetId="3" r:id="rId2"/>
    <sheet name="TEQUILA_Vendor_Analysis" sheetId="4" r:id="rId3"/>
    <sheet name="Top_Vendors_Revenue" sheetId="7" r:id="rId4"/>
    <sheet name="Tequila_Revenue_by_County" sheetId="10" r:id="rId5"/>
    <sheet name="Store_Revenue_Chart" sheetId="8" r:id="rId6"/>
    <sheet name="Uneven_Revenue_Chart" sheetId="9" r:id="rId7"/>
    <sheet name="Threats_Vendors" sheetId="11" r:id="rId8"/>
  </sheets>
  <definedNames>
    <definedName name="_xlchart.v1.0" hidden="1">Tequila_Revenue_by_County!$A$2:$A$21</definedName>
    <definedName name="_xlchart.v1.1" hidden="1">Tequila_Revenue_by_County!$B$1</definedName>
    <definedName name="_xlchart.v1.10" hidden="1">Tequila_Revenue_by_County!$B$1</definedName>
    <definedName name="_xlchart.v1.11" hidden="1">Tequila_Revenue_by_County!$B$2:$B$21</definedName>
    <definedName name="_xlchart.v1.12" hidden="1">Tequila_Revenue_by_County!$A$2:$A$21</definedName>
    <definedName name="_xlchart.v1.13" hidden="1">Tequila_Revenue_by_County!$B$1</definedName>
    <definedName name="_xlchart.v1.14" hidden="1">Tequila_Revenue_by_County!$B$2:$B$21</definedName>
    <definedName name="_xlchart.v1.15" hidden="1">Uneven_Revenue_Chart!$A$1</definedName>
    <definedName name="_xlchart.v1.16" hidden="1">Uneven_Revenue_Chart!$A$2:$A$21</definedName>
    <definedName name="_xlchart.v1.17" hidden="1">Uneven_Revenue_Chart!$B$1</definedName>
    <definedName name="_xlchart.v1.18" hidden="1">Uneven_Revenue_Chart!$B$2:$B$21</definedName>
    <definedName name="_xlchart.v1.2" hidden="1">Tequila_Revenue_by_County!$B$2:$B$21</definedName>
    <definedName name="_xlchart.v1.3" hidden="1">Tequila_Revenue_by_County!$A$2:$A$21</definedName>
    <definedName name="_xlchart.v1.4" hidden="1">Tequila_Revenue_by_County!$B$1</definedName>
    <definedName name="_xlchart.v1.5" hidden="1">Tequila_Revenue_by_County!$B$2:$B$21</definedName>
    <definedName name="_xlchart.v1.6" hidden="1">Tequila_Revenue_by_County!$A$2:$A$21</definedName>
    <definedName name="_xlchart.v1.7" hidden="1">Tequila_Revenue_by_County!$B$1</definedName>
    <definedName name="_xlchart.v1.8" hidden="1">Tequila_Revenue_by_County!$B$2:$B$21</definedName>
    <definedName name="_xlchart.v1.9" hidden="1">Tequila_Revenue_by_County!$A$2:$A$21</definedName>
  </definedNames>
  <calcPr calcId="0"/>
  <fileRecoveryPr repairLoad="1"/>
</workbook>
</file>

<file path=xl/sharedStrings.xml><?xml version="1.0" encoding="utf-8"?>
<sst xmlns="http://schemas.openxmlformats.org/spreadsheetml/2006/main" count="61" uniqueCount="37">
  <si>
    <t>Revenue</t>
  </si>
  <si>
    <t>Store</t>
  </si>
  <si>
    <t>county</t>
  </si>
  <si>
    <t>revenue</t>
  </si>
  <si>
    <t>Polk</t>
  </si>
  <si>
    <t>Scott</t>
  </si>
  <si>
    <t>Linn</t>
  </si>
  <si>
    <t>Johnson</t>
  </si>
  <si>
    <t>Black Hawk</t>
  </si>
  <si>
    <t>County</t>
  </si>
  <si>
    <t>vendor</t>
  </si>
  <si>
    <t>Proximo</t>
  </si>
  <si>
    <t>The Patron Spirits Company</t>
  </si>
  <si>
    <t>Luxco-St Louis</t>
  </si>
  <si>
    <t>Jim Beam Brands</t>
  </si>
  <si>
    <t>Sazerac North America</t>
  </si>
  <si>
    <t>Diageo Americas</t>
  </si>
  <si>
    <t>Sazerac Co. Inc.</t>
  </si>
  <si>
    <t>Brown-Forman Corporation</t>
  </si>
  <si>
    <t>Pernod Ricard USA/Austin Nichols</t>
  </si>
  <si>
    <t>Woodbury</t>
  </si>
  <si>
    <t>Pottawattamie</t>
  </si>
  <si>
    <t>Story</t>
  </si>
  <si>
    <t>Dubuque</t>
  </si>
  <si>
    <t>Cerro Gordo</t>
  </si>
  <si>
    <t>store</t>
  </si>
  <si>
    <t>Dallas</t>
  </si>
  <si>
    <t>Clinton</t>
  </si>
  <si>
    <t>Marshall</t>
  </si>
  <si>
    <t>Muscatine</t>
  </si>
  <si>
    <t>Des Moines</t>
  </si>
  <si>
    <t>Lee</t>
  </si>
  <si>
    <t>Wapello</t>
  </si>
  <si>
    <t>Webster</t>
  </si>
  <si>
    <t>Dickinson</t>
  </si>
  <si>
    <t>Buena Vista</t>
  </si>
  <si>
    <t>E AND J GALLO WINERY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</si>
</sst>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44" fontId="18" fillId="0" borderId="0" xfId="1" applyFont="1" applyAlignment="1">
      <alignment horizontal="left"/>
    </xf>
    <xf numFmtId="0" fontId="18" fillId="0" borderId="0" xfId="0" applyFont="1" applyAlignment="1">
      <alignment horizontal="left" vertical="top"/>
    </xf>
    <xf numFmtId="164" fontId="18" fillId="0" borderId="0" xfId="1" applyNumberFormat="1" applyFont="1" applyAlignment="1">
      <alignment horizontal="left" vertical="top"/>
    </xf>
    <xf numFmtId="164" fontId="18" fillId="0" borderId="0" xfId="0" applyNumberFormat="1" applyFont="1"/>
    <xf numFmtId="2" fontId="0" fillId="0" borderId="0" xfId="0" applyNumberFormat="1"/>
    <xf numFmtId="164" fontId="0" fillId="0" borderId="0" xfId="0" applyNumberFormat="1"/>
    <xf numFmtId="164" fontId="18" fillId="0" borderId="0" xfId="1" applyNumberFormat="1" applyFont="1"/>
    <xf numFmtId="44" fontId="0" fillId="0" borderId="0" xfId="1" applyFont="1"/>
    <xf numFmtId="8" fontId="0" fillId="0" borderId="0" xfId="0" applyNumberFormat="1" applyAlignment="1">
      <alignment horizontal="left"/>
    </xf>
    <xf numFmtId="0" fontId="18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Stores by Tequila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Tequila_Sales_Analysis!$A$1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Tequila_Sales_Analysis!$A$2:$A$6</c:f>
              <c:numCache>
                <c:formatCode>General</c:formatCode>
                <c:ptCount val="5"/>
                <c:pt idx="0">
                  <c:v>2633</c:v>
                </c:pt>
                <c:pt idx="1">
                  <c:v>4829</c:v>
                </c:pt>
                <c:pt idx="2">
                  <c:v>3952</c:v>
                </c:pt>
                <c:pt idx="3">
                  <c:v>2512</c:v>
                </c:pt>
                <c:pt idx="4">
                  <c:v>3420</c:v>
                </c:pt>
              </c:numCache>
            </c:numRef>
          </c:cat>
          <c:val>
            <c:numRef>
              <c:f>Tequila_Sales_Analysis!$A$2:$A$6</c:f>
              <c:numCache>
                <c:formatCode>General</c:formatCode>
                <c:ptCount val="5"/>
                <c:pt idx="0">
                  <c:v>2633</c:v>
                </c:pt>
                <c:pt idx="1">
                  <c:v>4829</c:v>
                </c:pt>
                <c:pt idx="2">
                  <c:v>3952</c:v>
                </c:pt>
                <c:pt idx="3">
                  <c:v>2512</c:v>
                </c:pt>
                <c:pt idx="4">
                  <c:v>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0-B942-BD8A-A788551004F2}"/>
            </c:ext>
          </c:extLst>
        </c:ser>
        <c:ser>
          <c:idx val="1"/>
          <c:order val="1"/>
          <c:tx>
            <c:strRef>
              <c:f>Tequila_Sales_Analysis!$B$1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Tequila_Sales_Analysis!$A$2:$A$6</c:f>
              <c:numCache>
                <c:formatCode>General</c:formatCode>
                <c:ptCount val="5"/>
                <c:pt idx="0">
                  <c:v>2633</c:v>
                </c:pt>
                <c:pt idx="1">
                  <c:v>4829</c:v>
                </c:pt>
                <c:pt idx="2">
                  <c:v>3952</c:v>
                </c:pt>
                <c:pt idx="3">
                  <c:v>2512</c:v>
                </c:pt>
                <c:pt idx="4">
                  <c:v>3420</c:v>
                </c:pt>
              </c:numCache>
            </c:numRef>
          </c:cat>
          <c:val>
            <c:numRef>
              <c:f>Tequila_Sales_Analysis!$B$2:$B$6</c:f>
              <c:numCache>
                <c:formatCode>"$"#,##0.00</c:formatCode>
                <c:ptCount val="5"/>
                <c:pt idx="0">
                  <c:v>1789194.18</c:v>
                </c:pt>
                <c:pt idx="1">
                  <c:v>1236512.3899999999</c:v>
                </c:pt>
                <c:pt idx="2">
                  <c:v>495876.81</c:v>
                </c:pt>
                <c:pt idx="3">
                  <c:v>488324.94</c:v>
                </c:pt>
                <c:pt idx="4">
                  <c:v>474856.1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0-B942-BD8A-A78855100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5305087"/>
        <c:axId val="1455108719"/>
      </c:barChart>
      <c:catAx>
        <c:axId val="1455305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5108719"/>
        <c:crosses val="autoZero"/>
        <c:auto val="1"/>
        <c:lblAlgn val="ctr"/>
        <c:lblOffset val="100"/>
        <c:noMultiLvlLbl val="0"/>
      </c:catAx>
      <c:valAx>
        <c:axId val="1455108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crossAx val="145530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Counties by Revenue (Iowa Liquor Sales)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Sales_By_County!$B$1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73681"/>
                </a:schemeClr>
              </a:glow>
              <a:outerShdw blurRad="50800" dist="50800" dir="5400000" sx="1000" sy="1000" algn="ctr" rotWithShape="0">
                <a:srgbClr val="000000">
                  <a:alpha val="43137"/>
                </a:srgbClr>
              </a:outerShdw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Sales_By_County!$A$2:$A$6</c:f>
              <c:strCache>
                <c:ptCount val="5"/>
                <c:pt idx="0">
                  <c:v>Polk</c:v>
                </c:pt>
                <c:pt idx="1">
                  <c:v>Scott</c:v>
                </c:pt>
                <c:pt idx="2">
                  <c:v>Linn</c:v>
                </c:pt>
                <c:pt idx="3">
                  <c:v>Johnson</c:v>
                </c:pt>
                <c:pt idx="4">
                  <c:v>Black Hawk</c:v>
                </c:pt>
              </c:strCache>
            </c:strRef>
          </c:cat>
          <c:val>
            <c:numRef>
              <c:f>Sales_By_County!$B$2:$B$6</c:f>
              <c:numCache>
                <c:formatCode>"$"#,##0.00</c:formatCode>
                <c:ptCount val="5"/>
                <c:pt idx="0">
                  <c:v>5884083.9400000004</c:v>
                </c:pt>
                <c:pt idx="1">
                  <c:v>2108815.9</c:v>
                </c:pt>
                <c:pt idx="2">
                  <c:v>1914934.46</c:v>
                </c:pt>
                <c:pt idx="3">
                  <c:v>1550590.67</c:v>
                </c:pt>
                <c:pt idx="4">
                  <c:v>1317414.76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F-A34B-B38B-D06E46602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706464"/>
        <c:axId val="822708176"/>
      </c:barChart>
      <c:catAx>
        <c:axId val="82270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08176"/>
        <c:crosses val="autoZero"/>
        <c:auto val="1"/>
        <c:lblAlgn val="ctr"/>
        <c:lblOffset val="100"/>
        <c:noMultiLvlLbl val="0"/>
      </c:catAx>
      <c:valAx>
        <c:axId val="8227081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in"/>
        <c:minorTickMark val="none"/>
        <c:tickLblPos val="none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06464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TEQUILA Vendor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TEQUILA_Vendor_Analysis!$B$1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TEQUILA_Vendor_Analysis!$A$2:$A$6</c:f>
              <c:strCache>
                <c:ptCount val="5"/>
                <c:pt idx="0">
                  <c:v>Proximo</c:v>
                </c:pt>
                <c:pt idx="1">
                  <c:v>The Patron Spirits Company</c:v>
                </c:pt>
                <c:pt idx="2">
                  <c:v>Luxco-St Louis</c:v>
                </c:pt>
                <c:pt idx="3">
                  <c:v>Jim Beam Brands</c:v>
                </c:pt>
                <c:pt idx="4">
                  <c:v>Sazerac North America</c:v>
                </c:pt>
              </c:strCache>
            </c:strRef>
          </c:cat>
          <c:val>
            <c:numRef>
              <c:f>TEQUILA_Vendor_Analysis!$B$2:$B$6</c:f>
              <c:numCache>
                <c:formatCode>"$"#,##0.00</c:formatCode>
                <c:ptCount val="5"/>
                <c:pt idx="0">
                  <c:v>7057569.5499999998</c:v>
                </c:pt>
                <c:pt idx="1">
                  <c:v>4913271.3600000003</c:v>
                </c:pt>
                <c:pt idx="2">
                  <c:v>2704493.41</c:v>
                </c:pt>
                <c:pt idx="3">
                  <c:v>1466265.05</c:v>
                </c:pt>
                <c:pt idx="4">
                  <c:v>964354.83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F-DA4C-A72F-39B578561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2252863"/>
        <c:axId val="1683987631"/>
      </c:barChart>
      <c:catAx>
        <c:axId val="114225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87631"/>
        <c:crossesAt val="0"/>
        <c:auto val="1"/>
        <c:lblAlgn val="ctr"/>
        <c:lblOffset val="100"/>
        <c:noMultiLvlLbl val="0"/>
      </c:catAx>
      <c:valAx>
        <c:axId val="1683987631"/>
        <c:scaling>
          <c:orientation val="minMax"/>
          <c:max val="8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\&#1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Vendors by Tequila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Top_Vendors_Revenue!$B$1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Top_Vendors_Revenue!$A$2:$A$6</c:f>
              <c:strCache>
                <c:ptCount val="5"/>
                <c:pt idx="0">
                  <c:v>Proximo</c:v>
                </c:pt>
                <c:pt idx="1">
                  <c:v>The Patron Spirits Company</c:v>
                </c:pt>
                <c:pt idx="2">
                  <c:v>Luxco-St Louis</c:v>
                </c:pt>
                <c:pt idx="3">
                  <c:v>Jim Beam Brands</c:v>
                </c:pt>
                <c:pt idx="4">
                  <c:v>Sazerac North America</c:v>
                </c:pt>
              </c:strCache>
            </c:strRef>
          </c:cat>
          <c:val>
            <c:numRef>
              <c:f>Top_Vendors_Revenue!$B$2:$B$6</c:f>
              <c:numCache>
                <c:formatCode>"$"#,##0.00</c:formatCode>
                <c:ptCount val="5"/>
                <c:pt idx="0">
                  <c:v>7057569.5499999998</c:v>
                </c:pt>
                <c:pt idx="1">
                  <c:v>4913271.3600000003</c:v>
                </c:pt>
                <c:pt idx="2">
                  <c:v>2704493.41</c:v>
                </c:pt>
                <c:pt idx="3">
                  <c:v>1466265.05</c:v>
                </c:pt>
                <c:pt idx="4">
                  <c:v>964354.83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1-2745-8124-8BD8C347E3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9340655"/>
        <c:axId val="1879231567"/>
      </c:barChart>
      <c:catAx>
        <c:axId val="187934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31567"/>
        <c:crosses val="autoZero"/>
        <c:auto val="1"/>
        <c:lblAlgn val="ctr"/>
        <c:lblOffset val="100"/>
        <c:noMultiLvlLbl val="0"/>
      </c:catAx>
      <c:valAx>
        <c:axId val="187923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\&#10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4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Tequila Revenue by County (Growth Opportunities)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9972542676351502"/>
          <c:y val="6.0796645702306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54366499642091"/>
          <c:y val="3.7410071942446041E-2"/>
          <c:w val="0.81409269863994271"/>
          <c:h val="0.73848025831303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Tequila_Revenue_by_County!$B$1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Tequila_Revenue_by_County!$A$2:$A$21</c:f>
              <c:strCache>
                <c:ptCount val="20"/>
                <c:pt idx="0">
                  <c:v>Polk</c:v>
                </c:pt>
                <c:pt idx="1">
                  <c:v>Scott</c:v>
                </c:pt>
                <c:pt idx="2">
                  <c:v>Linn</c:v>
                </c:pt>
                <c:pt idx="3">
                  <c:v>Johnson</c:v>
                </c:pt>
                <c:pt idx="4">
                  <c:v>Black Hawk</c:v>
                </c:pt>
                <c:pt idx="5">
                  <c:v>Woodbury</c:v>
                </c:pt>
                <c:pt idx="6">
                  <c:v>Pottawattamie</c:v>
                </c:pt>
                <c:pt idx="7">
                  <c:v>Story</c:v>
                </c:pt>
                <c:pt idx="8">
                  <c:v>Dubuque</c:v>
                </c:pt>
                <c:pt idx="9">
                  <c:v>Cerro Gordo</c:v>
                </c:pt>
                <c:pt idx="10">
                  <c:v>Dallas</c:v>
                </c:pt>
                <c:pt idx="11">
                  <c:v>Clinton</c:v>
                </c:pt>
                <c:pt idx="12">
                  <c:v>Marshall</c:v>
                </c:pt>
                <c:pt idx="13">
                  <c:v>Muscatine</c:v>
                </c:pt>
                <c:pt idx="14">
                  <c:v>Des Moines</c:v>
                </c:pt>
                <c:pt idx="15">
                  <c:v>Lee</c:v>
                </c:pt>
                <c:pt idx="16">
                  <c:v>Wapello</c:v>
                </c:pt>
                <c:pt idx="17">
                  <c:v>Webster</c:v>
                </c:pt>
                <c:pt idx="18">
                  <c:v>Dickinson</c:v>
                </c:pt>
                <c:pt idx="19">
                  <c:v>Buena Vista</c:v>
                </c:pt>
              </c:strCache>
            </c:strRef>
          </c:cat>
          <c:val>
            <c:numRef>
              <c:f>Tequila_Revenue_by_County!$B$2:$B$21</c:f>
              <c:numCache>
                <c:formatCode>_("$"* #,##0.00_);_("$"* \(#,##0.00\);_("$"* "-"??_);_(@_)</c:formatCode>
                <c:ptCount val="20"/>
                <c:pt idx="0">
                  <c:v>5884083.9400000004</c:v>
                </c:pt>
                <c:pt idx="1">
                  <c:v>2108815.9</c:v>
                </c:pt>
                <c:pt idx="2">
                  <c:v>1914934.46</c:v>
                </c:pt>
                <c:pt idx="3">
                  <c:v>1550590.67</c:v>
                </c:pt>
                <c:pt idx="4">
                  <c:v>1317414.76</c:v>
                </c:pt>
                <c:pt idx="5">
                  <c:v>871988.58</c:v>
                </c:pt>
                <c:pt idx="6">
                  <c:v>864736.46</c:v>
                </c:pt>
                <c:pt idx="7">
                  <c:v>527685.36</c:v>
                </c:pt>
                <c:pt idx="8">
                  <c:v>499050.56</c:v>
                </c:pt>
                <c:pt idx="9">
                  <c:v>447040.59</c:v>
                </c:pt>
                <c:pt idx="10">
                  <c:v>342107.33</c:v>
                </c:pt>
                <c:pt idx="11">
                  <c:v>305380.33</c:v>
                </c:pt>
                <c:pt idx="12">
                  <c:v>237201.98</c:v>
                </c:pt>
                <c:pt idx="13">
                  <c:v>233160.84</c:v>
                </c:pt>
                <c:pt idx="14">
                  <c:v>229825.32</c:v>
                </c:pt>
                <c:pt idx="15">
                  <c:v>228561.98</c:v>
                </c:pt>
                <c:pt idx="16">
                  <c:v>207812.68</c:v>
                </c:pt>
                <c:pt idx="17">
                  <c:v>198201.46</c:v>
                </c:pt>
                <c:pt idx="18">
                  <c:v>197175.1</c:v>
                </c:pt>
                <c:pt idx="19">
                  <c:v>145312.97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8-344A-AF32-CADB0E7A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1798255"/>
        <c:axId val="656076400"/>
      </c:barChart>
      <c:catAx>
        <c:axId val="17717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76400"/>
        <c:crosses val="autoZero"/>
        <c:auto val="1"/>
        <c:lblAlgn val="ctr"/>
        <c:lblOffset val="100"/>
        <c:noMultiLvlLbl val="0"/>
      </c:catAx>
      <c:valAx>
        <c:axId val="656076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7179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Lowest Tequila Sales by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Store_Revenue_Chart!$A$2:$A$11</c:f>
              <c:numCache>
                <c:formatCode>General</c:formatCode>
                <c:ptCount val="10"/>
                <c:pt idx="0">
                  <c:v>4875</c:v>
                </c:pt>
                <c:pt idx="1">
                  <c:v>4325</c:v>
                </c:pt>
                <c:pt idx="2">
                  <c:v>4331</c:v>
                </c:pt>
                <c:pt idx="3">
                  <c:v>4655</c:v>
                </c:pt>
                <c:pt idx="4">
                  <c:v>5065</c:v>
                </c:pt>
                <c:pt idx="5">
                  <c:v>4279</c:v>
                </c:pt>
                <c:pt idx="6">
                  <c:v>5026</c:v>
                </c:pt>
                <c:pt idx="7">
                  <c:v>4885</c:v>
                </c:pt>
                <c:pt idx="8">
                  <c:v>4672</c:v>
                </c:pt>
                <c:pt idx="9">
                  <c:v>4101</c:v>
                </c:pt>
              </c:numCache>
            </c:numRef>
          </c:cat>
          <c:val>
            <c:numRef>
              <c:f>Store_Revenue_Chart!$B$2:$B$11</c:f>
              <c:numCache>
                <c:formatCode>"$"#,##0.00_);[Red]\("$"#,##0.00\)</c:formatCode>
                <c:ptCount val="10"/>
                <c:pt idx="0">
                  <c:v>60.9</c:v>
                </c:pt>
                <c:pt idx="1">
                  <c:v>64.94</c:v>
                </c:pt>
                <c:pt idx="2">
                  <c:v>94.38</c:v>
                </c:pt>
                <c:pt idx="3">
                  <c:v>94.44</c:v>
                </c:pt>
                <c:pt idx="4">
                  <c:v>107.24</c:v>
                </c:pt>
                <c:pt idx="5">
                  <c:v>113.67</c:v>
                </c:pt>
                <c:pt idx="6">
                  <c:v>114.2</c:v>
                </c:pt>
                <c:pt idx="7">
                  <c:v>116.1</c:v>
                </c:pt>
                <c:pt idx="8">
                  <c:v>116.64</c:v>
                </c:pt>
                <c:pt idx="9">
                  <c:v>125.84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D-DD43-BA7F-DA2FF268CFA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Store_Revenue_Chart!$A$2:$A$11</c:f>
              <c:numCache>
                <c:formatCode>General</c:formatCode>
                <c:ptCount val="10"/>
                <c:pt idx="0">
                  <c:v>4875</c:v>
                </c:pt>
                <c:pt idx="1">
                  <c:v>4325</c:v>
                </c:pt>
                <c:pt idx="2">
                  <c:v>4331</c:v>
                </c:pt>
                <c:pt idx="3">
                  <c:v>4655</c:v>
                </c:pt>
                <c:pt idx="4">
                  <c:v>5065</c:v>
                </c:pt>
                <c:pt idx="5">
                  <c:v>4279</c:v>
                </c:pt>
                <c:pt idx="6">
                  <c:v>5026</c:v>
                </c:pt>
                <c:pt idx="7">
                  <c:v>4885</c:v>
                </c:pt>
                <c:pt idx="8">
                  <c:v>4672</c:v>
                </c:pt>
                <c:pt idx="9">
                  <c:v>4101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C10D-DD43-BA7F-DA2FF268C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911199"/>
        <c:axId val="1771912911"/>
      </c:barChart>
      <c:catAx>
        <c:axId val="177191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12911"/>
        <c:crosses val="autoZero"/>
        <c:auto val="1"/>
        <c:lblAlgn val="ctr"/>
        <c:lblOffset val="100"/>
        <c:noMultiLvlLbl val="0"/>
      </c:catAx>
      <c:valAx>
        <c:axId val="17719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1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Uneven Revenue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Uneven_Revenue_Chart!$B$2:$B$21</c:f>
              <c:numCache>
                <c:formatCode>_("$"* #,##0.00_);_("$"* \(#,##0.00\);_("$"* "-"??_);_(@_)</c:formatCode>
                <c:ptCount val="20"/>
                <c:pt idx="0">
                  <c:v>1236512.3899999999</c:v>
                </c:pt>
                <c:pt idx="1">
                  <c:v>165982.42000000001</c:v>
                </c:pt>
                <c:pt idx="2">
                  <c:v>167401.06</c:v>
                </c:pt>
                <c:pt idx="3">
                  <c:v>495876.81</c:v>
                </c:pt>
                <c:pt idx="4">
                  <c:v>249170.51</c:v>
                </c:pt>
                <c:pt idx="5">
                  <c:v>217922.04</c:v>
                </c:pt>
                <c:pt idx="6">
                  <c:v>198601.55</c:v>
                </c:pt>
                <c:pt idx="7">
                  <c:v>306896.34000000003</c:v>
                </c:pt>
                <c:pt idx="8">
                  <c:v>173246.34</c:v>
                </c:pt>
                <c:pt idx="9">
                  <c:v>205055.85</c:v>
                </c:pt>
                <c:pt idx="10">
                  <c:v>474856.1</c:v>
                </c:pt>
                <c:pt idx="11">
                  <c:v>471456.19</c:v>
                </c:pt>
                <c:pt idx="12">
                  <c:v>271655.86</c:v>
                </c:pt>
                <c:pt idx="13">
                  <c:v>1789194.18</c:v>
                </c:pt>
                <c:pt idx="14">
                  <c:v>217253.13</c:v>
                </c:pt>
                <c:pt idx="15">
                  <c:v>461909.16</c:v>
                </c:pt>
                <c:pt idx="16">
                  <c:v>217982.32</c:v>
                </c:pt>
                <c:pt idx="17">
                  <c:v>301182.64</c:v>
                </c:pt>
                <c:pt idx="18">
                  <c:v>190833.62</c:v>
                </c:pt>
                <c:pt idx="19">
                  <c:v>488324.94</c:v>
                </c:pt>
              </c:numCache>
            </c:numRef>
          </c:cat>
          <c:val>
            <c:numRef>
              <c:f>Uneven_Revenue_Chart!$A$2:$A$21</c:f>
              <c:numCache>
                <c:formatCode>General</c:formatCode>
                <c:ptCount val="20"/>
                <c:pt idx="0">
                  <c:v>4829</c:v>
                </c:pt>
                <c:pt idx="1">
                  <c:v>4312</c:v>
                </c:pt>
                <c:pt idx="2">
                  <c:v>4057</c:v>
                </c:pt>
                <c:pt idx="3">
                  <c:v>3952</c:v>
                </c:pt>
                <c:pt idx="4">
                  <c:v>3820</c:v>
                </c:pt>
                <c:pt idx="5">
                  <c:v>3814</c:v>
                </c:pt>
                <c:pt idx="6">
                  <c:v>3773</c:v>
                </c:pt>
                <c:pt idx="7">
                  <c:v>3692</c:v>
                </c:pt>
                <c:pt idx="8">
                  <c:v>3494</c:v>
                </c:pt>
                <c:pt idx="9">
                  <c:v>3447</c:v>
                </c:pt>
                <c:pt idx="10">
                  <c:v>3420</c:v>
                </c:pt>
                <c:pt idx="11">
                  <c:v>3385</c:v>
                </c:pt>
                <c:pt idx="12">
                  <c:v>3354</c:v>
                </c:pt>
                <c:pt idx="13">
                  <c:v>2633</c:v>
                </c:pt>
                <c:pt idx="14">
                  <c:v>2629</c:v>
                </c:pt>
                <c:pt idx="15">
                  <c:v>2625</c:v>
                </c:pt>
                <c:pt idx="16">
                  <c:v>2616</c:v>
                </c:pt>
                <c:pt idx="17">
                  <c:v>2599</c:v>
                </c:pt>
                <c:pt idx="18">
                  <c:v>2515</c:v>
                </c:pt>
                <c:pt idx="19">
                  <c:v>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0-AE48-BFC5-C2894C960F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1320351"/>
        <c:axId val="2096647935"/>
      </c:barChart>
      <c:catAx>
        <c:axId val="177132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7935"/>
        <c:crossesAt val="0"/>
        <c:auto val="1"/>
        <c:lblAlgn val="ctr"/>
        <c:lblOffset val="100"/>
        <c:noMultiLvlLbl val="0"/>
      </c:catAx>
      <c:valAx>
        <c:axId val="2096647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713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Threats_Vendors!$B$1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Threats_Vendors!$A$2:$A$11</c:f>
              <c:strCache>
                <c:ptCount val="10"/>
                <c:pt idx="0">
                  <c:v>Proximo</c:v>
                </c:pt>
                <c:pt idx="1">
                  <c:v>The Patron Spirits Company</c:v>
                </c:pt>
                <c:pt idx="2">
                  <c:v>Luxco-St Louis</c:v>
                </c:pt>
                <c:pt idx="3">
                  <c:v>Jim Beam Brands</c:v>
                </c:pt>
                <c:pt idx="4">
                  <c:v>Sazerac North America</c:v>
                </c:pt>
                <c:pt idx="5">
                  <c:v>Diageo Americas</c:v>
                </c:pt>
                <c:pt idx="6">
                  <c:v>Sazerac Co. Inc.</c:v>
                </c:pt>
                <c:pt idx="7">
                  <c:v>Brown-Forman Corporation</c:v>
                </c:pt>
                <c:pt idx="8">
                  <c:v>Pernod Ricard USA/Austin Nichols</c:v>
                </c:pt>
                <c:pt idx="9">
                  <c:v>E AND J GALLO WINERY</c:v>
                </c:pt>
              </c:strCache>
            </c:strRef>
          </c:cat>
          <c:val>
            <c:numRef>
              <c:f>Threats_Vendors!$B$2:$B$11</c:f>
              <c:numCache>
                <c:formatCode>General</c:formatCode>
                <c:ptCount val="10"/>
                <c:pt idx="0">
                  <c:v>7057569.5499999998</c:v>
                </c:pt>
                <c:pt idx="1">
                  <c:v>4913271.3600000003</c:v>
                </c:pt>
                <c:pt idx="2">
                  <c:v>2704493.41</c:v>
                </c:pt>
                <c:pt idx="3">
                  <c:v>1466265.05</c:v>
                </c:pt>
                <c:pt idx="4">
                  <c:v>964354.83</c:v>
                </c:pt>
                <c:pt idx="5">
                  <c:v>839361.92</c:v>
                </c:pt>
                <c:pt idx="6">
                  <c:v>550946.55000000005</c:v>
                </c:pt>
                <c:pt idx="7">
                  <c:v>541555.62</c:v>
                </c:pt>
                <c:pt idx="8">
                  <c:v>312114.17</c:v>
                </c:pt>
                <c:pt idx="9">
                  <c:v>289620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2-AD42-85AE-7B686ED686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850900</xdr:colOff>
      <xdr:row>6</xdr:row>
      <xdr:rowOff>127000</xdr:rowOff>
    </xdr:from>
    <xdr:to>
      <xdr:col>10</xdr:col>
      <xdr:colOff>127000</xdr:colOff>
      <xdr:row>26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EFDF56-51CF-A327-00BB-24E0B1058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8</xdr:row>
      <xdr:rowOff>190500</xdr:rowOff>
    </xdr:from>
    <xdr:to>
      <xdr:col>7</xdr:col>
      <xdr:colOff>63500</xdr:colOff>
      <xdr:row>28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39EA6F-92A9-260F-EE03-E33654CA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387350</xdr:colOff>
      <xdr:row>7</xdr:row>
      <xdr:rowOff>165100</xdr:rowOff>
    </xdr:from>
    <xdr:to>
      <xdr:col>6</xdr:col>
      <xdr:colOff>787400</xdr:colOff>
      <xdr:row>25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D411E82-131C-F772-1445-6CFBD9AE6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1009650</xdr:colOff>
      <xdr:row>8</xdr:row>
      <xdr:rowOff>114300</xdr:rowOff>
    </xdr:from>
    <xdr:to>
      <xdr:col>9</xdr:col>
      <xdr:colOff>647700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299A4-FBFA-3087-FFE4-B091C3B10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25400</xdr:rowOff>
    </xdr:from>
    <xdr:to>
      <xdr:col>15</xdr:col>
      <xdr:colOff>38100</xdr:colOff>
      <xdr:row>35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4ED4A-20F2-849B-0BE0-A2796E574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10</xdr:row>
      <xdr:rowOff>114300</xdr:rowOff>
    </xdr:from>
    <xdr:to>
      <xdr:col>10</xdr:col>
      <xdr:colOff>368300</xdr:colOff>
      <xdr:row>29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72E3D-67C9-F52B-9FEE-531C71C72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11</xdr:row>
      <xdr:rowOff>127000</xdr:rowOff>
    </xdr:from>
    <xdr:to>
      <xdr:col>15</xdr:col>
      <xdr:colOff>368300</xdr:colOff>
      <xdr:row>34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967E37-2E2A-683C-D798-7BAACBF2B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2</xdr:row>
      <xdr:rowOff>50800</xdr:rowOff>
    </xdr:from>
    <xdr:to>
      <xdr:col>12</xdr:col>
      <xdr:colOff>203200</xdr:colOff>
      <xdr:row>33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12D66-4B9A-1D7B-8569-D9CDEC794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ADEC-270F-4147-ABD6-A72249FC1483}">
  <dimension ref="A1:B6"/>
  <sheetViews>
    <sheetView workbookViewId="0">
      <selection activeCell="A11" sqref="A11"/>
    </sheetView>
  </sheetViews>
  <sheetFormatPr baseColWidth="10" defaultRowHeight="16" x14ac:dyDescent="0.2"/>
  <cols>
    <col min="1" max="2" width="14.83203125" customWidth="1"/>
  </cols>
  <sheetData>
    <row r="1" spans="1:2" x14ac:dyDescent="0.2">
      <c r="A1" s="1" t="s">
        <v>1</v>
      </c>
      <c r="B1" s="2" t="s">
        <v>0</v>
      </c>
    </row>
    <row r="2" spans="1:2" x14ac:dyDescent="0.2">
      <c r="A2" s="1">
        <v>2633</v>
      </c>
      <c r="B2" s="2">
        <v>1789194.18</v>
      </c>
    </row>
    <row r="3" spans="1:2" x14ac:dyDescent="0.2">
      <c r="A3" s="1">
        <v>4829</v>
      </c>
      <c r="B3" s="2">
        <v>1236512.3899999999</v>
      </c>
    </row>
    <row r="4" spans="1:2" x14ac:dyDescent="0.2">
      <c r="A4" s="1">
        <v>3952</v>
      </c>
      <c r="B4" s="2">
        <v>495876.81</v>
      </c>
    </row>
    <row r="5" spans="1:2" x14ac:dyDescent="0.2">
      <c r="A5" s="1">
        <v>2512</v>
      </c>
      <c r="B5" s="2">
        <v>488324.94</v>
      </c>
    </row>
    <row r="6" spans="1:2" x14ac:dyDescent="0.2">
      <c r="A6" s="1">
        <v>3420</v>
      </c>
      <c r="B6" s="2">
        <v>474856.1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2978-D123-AF41-B2CA-ECB8DEA00F33}">
  <dimension ref="A1:B7"/>
  <sheetViews>
    <sheetView workbookViewId="0">
      <selection activeCell="C5" sqref="C5"/>
    </sheetView>
  </sheetViews>
  <sheetFormatPr baseColWidth="10" defaultRowHeight="16" x14ac:dyDescent="0.2"/>
  <cols>
    <col min="1" max="2" width="19.6640625" customWidth="1"/>
  </cols>
  <sheetData>
    <row r="1" spans="1:2" x14ac:dyDescent="0.2">
      <c r="A1" s="6" t="s">
        <v>9</v>
      </c>
      <c r="B1" s="7" t="s">
        <v>0</v>
      </c>
    </row>
    <row r="2" spans="1:2" x14ac:dyDescent="0.2">
      <c r="A2" s="6" t="s">
        <v>4</v>
      </c>
      <c r="B2" s="7">
        <v>5884083.9400000004</v>
      </c>
    </row>
    <row r="3" spans="1:2" x14ac:dyDescent="0.2">
      <c r="A3" s="6" t="s">
        <v>5</v>
      </c>
      <c r="B3" s="7">
        <v>2108815.9</v>
      </c>
    </row>
    <row r="4" spans="1:2" x14ac:dyDescent="0.2">
      <c r="A4" s="6" t="s">
        <v>6</v>
      </c>
      <c r="B4" s="7">
        <v>1914934.46</v>
      </c>
    </row>
    <row r="5" spans="1:2" x14ac:dyDescent="0.2">
      <c r="A5" s="6" t="s">
        <v>7</v>
      </c>
      <c r="B5" s="7">
        <v>1550590.67</v>
      </c>
    </row>
    <row r="6" spans="1:2" x14ac:dyDescent="0.2">
      <c r="A6" s="6" t="s">
        <v>8</v>
      </c>
      <c r="B6" s="7">
        <v>1317414.76</v>
      </c>
    </row>
    <row r="7" spans="1:2" x14ac:dyDescent="0.2">
      <c r="A7" s="1"/>
      <c r="B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6A1F-9DFC-C849-AE4D-4C1493E1C9B6}">
  <dimension ref="A1:B7"/>
  <sheetViews>
    <sheetView workbookViewId="0">
      <selection activeCell="E6" sqref="E6"/>
    </sheetView>
  </sheetViews>
  <sheetFormatPr baseColWidth="10" defaultRowHeight="16" x14ac:dyDescent="0.2"/>
  <cols>
    <col min="1" max="1" width="30.33203125" customWidth="1"/>
    <col min="2" max="2" width="21" customWidth="1"/>
  </cols>
  <sheetData>
    <row r="1" spans="1:2" x14ac:dyDescent="0.2">
      <c r="A1" s="3" t="s">
        <v>10</v>
      </c>
      <c r="B1" s="8" t="s">
        <v>0</v>
      </c>
    </row>
    <row r="2" spans="1:2" x14ac:dyDescent="0.2">
      <c r="A2" t="s">
        <v>11</v>
      </c>
      <c r="B2" s="10">
        <v>7057569.5499999998</v>
      </c>
    </row>
    <row r="3" spans="1:2" x14ac:dyDescent="0.2">
      <c r="A3" t="s">
        <v>12</v>
      </c>
      <c r="B3" s="10">
        <v>4913271.3600000003</v>
      </c>
    </row>
    <row r="4" spans="1:2" x14ac:dyDescent="0.2">
      <c r="A4" t="s">
        <v>13</v>
      </c>
      <c r="B4" s="10">
        <v>2704493.41</v>
      </c>
    </row>
    <row r="5" spans="1:2" x14ac:dyDescent="0.2">
      <c r="A5" t="s">
        <v>14</v>
      </c>
      <c r="B5" s="10">
        <v>1466265.05</v>
      </c>
    </row>
    <row r="6" spans="1:2" x14ac:dyDescent="0.2">
      <c r="A6" t="s">
        <v>15</v>
      </c>
      <c r="B6" s="10">
        <v>964354.83</v>
      </c>
    </row>
    <row r="7" spans="1:2" x14ac:dyDescent="0.2">
      <c r="A7" s="9"/>
      <c r="B7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BD80-457B-2949-BFE2-15418A76E501}">
  <dimension ref="A1:B6"/>
  <sheetViews>
    <sheetView workbookViewId="0">
      <selection sqref="A1:B6"/>
    </sheetView>
  </sheetViews>
  <sheetFormatPr baseColWidth="10" defaultRowHeight="16" x14ac:dyDescent="0.2"/>
  <cols>
    <col min="1" max="2" width="15.6640625" customWidth="1"/>
  </cols>
  <sheetData>
    <row r="1" spans="1:2" x14ac:dyDescent="0.2">
      <c r="A1" s="3" t="s">
        <v>10</v>
      </c>
      <c r="B1" s="3" t="s">
        <v>3</v>
      </c>
    </row>
    <row r="2" spans="1:2" x14ac:dyDescent="0.2">
      <c r="A2" s="3" t="s">
        <v>11</v>
      </c>
      <c r="B2" s="11">
        <v>7057569.5499999998</v>
      </c>
    </row>
    <row r="3" spans="1:2" x14ac:dyDescent="0.2">
      <c r="A3" s="3" t="s">
        <v>12</v>
      </c>
      <c r="B3" s="11">
        <v>4913271.3600000003</v>
      </c>
    </row>
    <row r="4" spans="1:2" x14ac:dyDescent="0.2">
      <c r="A4" s="3" t="s">
        <v>13</v>
      </c>
      <c r="B4" s="11">
        <v>2704493.41</v>
      </c>
    </row>
    <row r="5" spans="1:2" x14ac:dyDescent="0.2">
      <c r="A5" s="3" t="s">
        <v>14</v>
      </c>
      <c r="B5" s="11">
        <v>1466265.05</v>
      </c>
    </row>
    <row r="6" spans="1:2" x14ac:dyDescent="0.2">
      <c r="A6" s="3" t="s">
        <v>15</v>
      </c>
      <c r="B6" s="11">
        <v>964354.83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BB84-96D0-EE44-A6A8-8B74DF1433C5}">
  <dimension ref="A1:B21"/>
  <sheetViews>
    <sheetView topLeftCell="C1" workbookViewId="0">
      <selection activeCell="Q16" sqref="Q16"/>
    </sheetView>
  </sheetViews>
  <sheetFormatPr baseColWidth="10" defaultRowHeight="16" x14ac:dyDescent="0.2"/>
  <cols>
    <col min="1" max="2" width="14.6640625" customWidth="1"/>
  </cols>
  <sheetData>
    <row r="1" spans="1:2" x14ac:dyDescent="0.2">
      <c r="A1" t="s">
        <v>2</v>
      </c>
      <c r="B1" s="12" t="s">
        <v>3</v>
      </c>
    </row>
    <row r="2" spans="1:2" x14ac:dyDescent="0.2">
      <c r="A2" t="s">
        <v>4</v>
      </c>
      <c r="B2" s="12">
        <v>5884083.9400000004</v>
      </c>
    </row>
    <row r="3" spans="1:2" x14ac:dyDescent="0.2">
      <c r="A3" t="s">
        <v>5</v>
      </c>
      <c r="B3" s="12">
        <v>2108815.9</v>
      </c>
    </row>
    <row r="4" spans="1:2" x14ac:dyDescent="0.2">
      <c r="A4" t="s">
        <v>6</v>
      </c>
      <c r="B4" s="12">
        <v>1914934.46</v>
      </c>
    </row>
    <row r="5" spans="1:2" x14ac:dyDescent="0.2">
      <c r="A5" t="s">
        <v>7</v>
      </c>
      <c r="B5" s="12">
        <v>1550590.67</v>
      </c>
    </row>
    <row r="6" spans="1:2" x14ac:dyDescent="0.2">
      <c r="A6" t="s">
        <v>8</v>
      </c>
      <c r="B6" s="12">
        <v>1317414.76</v>
      </c>
    </row>
    <row r="7" spans="1:2" x14ac:dyDescent="0.2">
      <c r="A7" t="s">
        <v>20</v>
      </c>
      <c r="B7" s="12">
        <v>871988.58</v>
      </c>
    </row>
    <row r="8" spans="1:2" x14ac:dyDescent="0.2">
      <c r="A8" t="s">
        <v>21</v>
      </c>
      <c r="B8" s="12">
        <v>864736.46</v>
      </c>
    </row>
    <row r="9" spans="1:2" x14ac:dyDescent="0.2">
      <c r="A9" t="s">
        <v>22</v>
      </c>
      <c r="B9" s="12">
        <v>527685.36</v>
      </c>
    </row>
    <row r="10" spans="1:2" x14ac:dyDescent="0.2">
      <c r="A10" t="s">
        <v>23</v>
      </c>
      <c r="B10" s="12">
        <v>499050.56</v>
      </c>
    </row>
    <row r="11" spans="1:2" x14ac:dyDescent="0.2">
      <c r="A11" t="s">
        <v>24</v>
      </c>
      <c r="B11" s="12">
        <v>447040.59</v>
      </c>
    </row>
    <row r="12" spans="1:2" x14ac:dyDescent="0.2">
      <c r="A12" t="s">
        <v>26</v>
      </c>
      <c r="B12" s="12">
        <v>342107.33</v>
      </c>
    </row>
    <row r="13" spans="1:2" x14ac:dyDescent="0.2">
      <c r="A13" t="s">
        <v>27</v>
      </c>
      <c r="B13" s="12">
        <v>305380.33</v>
      </c>
    </row>
    <row r="14" spans="1:2" x14ac:dyDescent="0.2">
      <c r="A14" t="s">
        <v>28</v>
      </c>
      <c r="B14" s="12">
        <v>237201.98</v>
      </c>
    </row>
    <row r="15" spans="1:2" x14ac:dyDescent="0.2">
      <c r="A15" t="s">
        <v>29</v>
      </c>
      <c r="B15" s="12">
        <v>233160.84</v>
      </c>
    </row>
    <row r="16" spans="1:2" x14ac:dyDescent="0.2">
      <c r="A16" t="s">
        <v>30</v>
      </c>
      <c r="B16" s="12">
        <v>229825.32</v>
      </c>
    </row>
    <row r="17" spans="1:2" x14ac:dyDescent="0.2">
      <c r="A17" t="s">
        <v>31</v>
      </c>
      <c r="B17" s="12">
        <v>228561.98</v>
      </c>
    </row>
    <row r="18" spans="1:2" x14ac:dyDescent="0.2">
      <c r="A18" t="s">
        <v>32</v>
      </c>
      <c r="B18" s="12">
        <v>207812.68</v>
      </c>
    </row>
    <row r="19" spans="1:2" x14ac:dyDescent="0.2">
      <c r="A19" t="s">
        <v>33</v>
      </c>
      <c r="B19" s="12">
        <v>198201.46</v>
      </c>
    </row>
    <row r="20" spans="1:2" x14ac:dyDescent="0.2">
      <c r="A20" t="s">
        <v>34</v>
      </c>
      <c r="B20" s="12">
        <v>197175.1</v>
      </c>
    </row>
    <row r="21" spans="1:2" x14ac:dyDescent="0.2">
      <c r="A21" t="s">
        <v>35</v>
      </c>
      <c r="B21" s="12">
        <v>145312.97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6F3C-CCB5-354E-BDC6-9E566F997DC1}">
  <dimension ref="A1:B11"/>
  <sheetViews>
    <sheetView workbookViewId="0">
      <selection activeCell="F6" sqref="F6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1">
        <v>4875</v>
      </c>
      <c r="B2" s="13">
        <v>60.9</v>
      </c>
    </row>
    <row r="3" spans="1:2" x14ac:dyDescent="0.2">
      <c r="A3" s="1">
        <v>4325</v>
      </c>
      <c r="B3" s="13">
        <v>64.94</v>
      </c>
    </row>
    <row r="4" spans="1:2" x14ac:dyDescent="0.2">
      <c r="A4" s="1">
        <v>4331</v>
      </c>
      <c r="B4" s="13">
        <v>94.38</v>
      </c>
    </row>
    <row r="5" spans="1:2" x14ac:dyDescent="0.2">
      <c r="A5" s="1">
        <v>4655</v>
      </c>
      <c r="B5" s="13">
        <v>94.44</v>
      </c>
    </row>
    <row r="6" spans="1:2" x14ac:dyDescent="0.2">
      <c r="A6" s="1">
        <v>5065</v>
      </c>
      <c r="B6" s="13">
        <v>107.24</v>
      </c>
    </row>
    <row r="7" spans="1:2" x14ac:dyDescent="0.2">
      <c r="A7" s="1">
        <v>4279</v>
      </c>
      <c r="B7" s="13">
        <v>113.67</v>
      </c>
    </row>
    <row r="8" spans="1:2" x14ac:dyDescent="0.2">
      <c r="A8" s="1">
        <v>5026</v>
      </c>
      <c r="B8" s="13">
        <v>114.2</v>
      </c>
    </row>
    <row r="9" spans="1:2" x14ac:dyDescent="0.2">
      <c r="A9" s="1">
        <v>4885</v>
      </c>
      <c r="B9" s="13">
        <v>116.1</v>
      </c>
    </row>
    <row r="10" spans="1:2" x14ac:dyDescent="0.2">
      <c r="A10" s="1">
        <v>4672</v>
      </c>
      <c r="B10" s="13">
        <v>116.64</v>
      </c>
    </row>
    <row r="11" spans="1:2" x14ac:dyDescent="0.2">
      <c r="A11" s="1">
        <v>4101</v>
      </c>
      <c r="B11" s="13">
        <v>125.84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1F8-21BD-724A-9FF6-B51E903A9874}">
  <dimension ref="A1:B21"/>
  <sheetViews>
    <sheetView workbookViewId="0">
      <selection activeCell="I6" sqref="I6"/>
    </sheetView>
  </sheetViews>
  <sheetFormatPr baseColWidth="10" defaultRowHeight="16" x14ac:dyDescent="0.2"/>
  <cols>
    <col min="2" max="2" width="14" bestFit="1" customWidth="1"/>
  </cols>
  <sheetData>
    <row r="1" spans="1:2" x14ac:dyDescent="0.2">
      <c r="A1" s="4" t="s">
        <v>25</v>
      </c>
      <c r="B1" s="5" t="s">
        <v>3</v>
      </c>
    </row>
    <row r="2" spans="1:2" x14ac:dyDescent="0.2">
      <c r="A2" s="4">
        <v>4829</v>
      </c>
      <c r="B2" s="5">
        <v>1236512.3899999999</v>
      </c>
    </row>
    <row r="3" spans="1:2" x14ac:dyDescent="0.2">
      <c r="A3" s="4">
        <v>4312</v>
      </c>
      <c r="B3" s="5">
        <v>165982.42000000001</v>
      </c>
    </row>
    <row r="4" spans="1:2" x14ac:dyDescent="0.2">
      <c r="A4" s="4">
        <v>4057</v>
      </c>
      <c r="B4" s="5">
        <v>167401.06</v>
      </c>
    </row>
    <row r="5" spans="1:2" x14ac:dyDescent="0.2">
      <c r="A5" s="4">
        <v>3952</v>
      </c>
      <c r="B5" s="5">
        <v>495876.81</v>
      </c>
    </row>
    <row r="6" spans="1:2" x14ac:dyDescent="0.2">
      <c r="A6" s="4">
        <v>3820</v>
      </c>
      <c r="B6" s="5">
        <v>249170.51</v>
      </c>
    </row>
    <row r="7" spans="1:2" x14ac:dyDescent="0.2">
      <c r="A7" s="4">
        <v>3814</v>
      </c>
      <c r="B7" s="5">
        <v>217922.04</v>
      </c>
    </row>
    <row r="8" spans="1:2" x14ac:dyDescent="0.2">
      <c r="A8" s="4">
        <v>3773</v>
      </c>
      <c r="B8" s="5">
        <v>198601.55</v>
      </c>
    </row>
    <row r="9" spans="1:2" x14ac:dyDescent="0.2">
      <c r="A9" s="4">
        <v>3692</v>
      </c>
      <c r="B9" s="5">
        <v>306896.34000000003</v>
      </c>
    </row>
    <row r="10" spans="1:2" x14ac:dyDescent="0.2">
      <c r="A10" s="4">
        <v>3494</v>
      </c>
      <c r="B10" s="5">
        <v>173246.34</v>
      </c>
    </row>
    <row r="11" spans="1:2" x14ac:dyDescent="0.2">
      <c r="A11" s="4">
        <v>3447</v>
      </c>
      <c r="B11" s="5">
        <v>205055.85</v>
      </c>
    </row>
    <row r="12" spans="1:2" x14ac:dyDescent="0.2">
      <c r="A12" s="4">
        <v>3420</v>
      </c>
      <c r="B12" s="5">
        <v>474856.1</v>
      </c>
    </row>
    <row r="13" spans="1:2" x14ac:dyDescent="0.2">
      <c r="A13" s="4">
        <v>3385</v>
      </c>
      <c r="B13" s="5">
        <v>471456.19</v>
      </c>
    </row>
    <row r="14" spans="1:2" x14ac:dyDescent="0.2">
      <c r="A14" s="4">
        <v>3354</v>
      </c>
      <c r="B14" s="5">
        <v>271655.86</v>
      </c>
    </row>
    <row r="15" spans="1:2" x14ac:dyDescent="0.2">
      <c r="A15" s="4">
        <v>2633</v>
      </c>
      <c r="B15" s="5">
        <v>1789194.18</v>
      </c>
    </row>
    <row r="16" spans="1:2" x14ac:dyDescent="0.2">
      <c r="A16" s="4">
        <v>2629</v>
      </c>
      <c r="B16" s="5">
        <v>217253.13</v>
      </c>
    </row>
    <row r="17" spans="1:2" x14ac:dyDescent="0.2">
      <c r="A17" s="4">
        <v>2625</v>
      </c>
      <c r="B17" s="5">
        <v>461909.16</v>
      </c>
    </row>
    <row r="18" spans="1:2" x14ac:dyDescent="0.2">
      <c r="A18" s="4">
        <v>2616</v>
      </c>
      <c r="B18" s="5">
        <v>217982.32</v>
      </c>
    </row>
    <row r="19" spans="1:2" x14ac:dyDescent="0.2">
      <c r="A19" s="4">
        <v>2599</v>
      </c>
      <c r="B19" s="5">
        <v>301182.64</v>
      </c>
    </row>
    <row r="20" spans="1:2" x14ac:dyDescent="0.2">
      <c r="A20" s="4">
        <v>2515</v>
      </c>
      <c r="B20" s="5">
        <v>190833.62</v>
      </c>
    </row>
    <row r="21" spans="1:2" x14ac:dyDescent="0.2">
      <c r="A21" s="4">
        <v>2512</v>
      </c>
      <c r="B21" s="5">
        <v>488324.94</v>
      </c>
    </row>
  </sheetData>
  <sortState xmlns:xlrd2="http://schemas.microsoft.com/office/spreadsheetml/2017/richdata2" ref="A2:B21">
    <sortCondition descending="1" ref="A1:A2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D059-B825-4B4C-929B-2353E1AF5FCF}">
  <dimension ref="A1:B11"/>
  <sheetViews>
    <sheetView tabSelected="1" topLeftCell="E1" workbookViewId="0">
      <selection activeCell="B1" sqref="B1:B11"/>
    </sheetView>
  </sheetViews>
  <sheetFormatPr baseColWidth="10" defaultRowHeight="16" x14ac:dyDescent="0.2"/>
  <cols>
    <col min="1" max="2" width="25.5" customWidth="1"/>
  </cols>
  <sheetData>
    <row r="1" spans="1:2" x14ac:dyDescent="0.2">
      <c r="A1" s="3" t="s">
        <v>10</v>
      </c>
      <c r="B1" s="14" t="s">
        <v>3</v>
      </c>
    </row>
    <row r="2" spans="1:2" x14ac:dyDescent="0.2">
      <c r="A2" s="3" t="s">
        <v>11</v>
      </c>
      <c r="B2" s="14">
        <v>7057569.5499999998</v>
      </c>
    </row>
    <row r="3" spans="1:2" x14ac:dyDescent="0.2">
      <c r="A3" s="3" t="s">
        <v>12</v>
      </c>
      <c r="B3" s="14">
        <v>4913271.3600000003</v>
      </c>
    </row>
    <row r="4" spans="1:2" x14ac:dyDescent="0.2">
      <c r="A4" s="3" t="s">
        <v>13</v>
      </c>
      <c r="B4" s="14">
        <v>2704493.41</v>
      </c>
    </row>
    <row r="5" spans="1:2" x14ac:dyDescent="0.2">
      <c r="A5" s="3" t="s">
        <v>14</v>
      </c>
      <c r="B5" s="14">
        <v>1466265.05</v>
      </c>
    </row>
    <row r="6" spans="1:2" x14ac:dyDescent="0.2">
      <c r="A6" s="3" t="s">
        <v>15</v>
      </c>
      <c r="B6" s="14">
        <v>964354.83</v>
      </c>
    </row>
    <row r="7" spans="1:2" x14ac:dyDescent="0.2">
      <c r="A7" s="3" t="s">
        <v>16</v>
      </c>
      <c r="B7" s="14">
        <v>839361.92</v>
      </c>
    </row>
    <row r="8" spans="1:2" x14ac:dyDescent="0.2">
      <c r="A8" s="3" t="s">
        <v>17</v>
      </c>
      <c r="B8" s="14">
        <v>550946.55000000005</v>
      </c>
    </row>
    <row r="9" spans="1:2" x14ac:dyDescent="0.2">
      <c r="A9" s="3" t="s">
        <v>18</v>
      </c>
      <c r="B9" s="14">
        <v>541555.62</v>
      </c>
    </row>
    <row r="10" spans="1:2" x14ac:dyDescent="0.2">
      <c r="A10" s="3" t="s">
        <v>19</v>
      </c>
      <c r="B10" s="14">
        <v>312114.17</v>
      </c>
    </row>
    <row r="11" spans="1:2" x14ac:dyDescent="0.2">
      <c r="A11" s="3" t="s">
        <v>36</v>
      </c>
      <c r="B11" s="14">
        <v>289620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Tequila_Sales_Analysis</vt:lpstr>
      <vt:lpstr>Sales_By_County</vt:lpstr>
      <vt:lpstr>TEQUILA_Vendor_Analysis</vt:lpstr>
      <vt:lpstr>Top_Vendors_Revenue</vt:lpstr>
      <vt:lpstr>Tequila_Revenue_by_County</vt:lpstr>
      <vt:lpstr>Store_Revenue_Chart</vt:lpstr>
      <vt:lpstr>Uneven_Revenue_Chart</vt:lpstr>
      <vt:lpstr>Threats_Vendors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2026-04-30T05:00:33Z</dcterms:created>
  <dcterms:modified xsi:type="dcterms:W3CDTF">2026-05-01T09:11:04Z</dcterms:modified>
</cp:coreProperties>
</file>